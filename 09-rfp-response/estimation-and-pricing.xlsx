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y Rates" sheetId="1" state="visible" r:id="rId3"/>
    <sheet name="Estimate" sheetId="2" state="visible" r:id="rId4"/>
    <sheet name="Summary by Pha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<sst xmlns="http://schemas.openxmlformats.org/spreadsheetml/2006/main" count="79" uniqueCount="26">
  <si>
    <t xml:space="preserve">Illustrative Day Rates — practice-exercise placeholders, not any real agency's actual published rates</t>
  </si>
  <si>
    <t xml:space="preserve">Role</t>
  </si>
  <si>
    <t xml:space="preserve">Illustrative Rate / Day (USD)</t>
  </si>
  <si>
    <t xml:space="preserve">Business Analyst / Project Lead</t>
  </si>
  <si>
    <t xml:space="preserve">UX Designer</t>
  </si>
  <si>
    <t xml:space="preserve">UI Designer</t>
  </si>
  <si>
    <t xml:space="preserve">Backend Developer</t>
  </si>
  <si>
    <t xml:space="preserve">Frontend Developer</t>
  </si>
  <si>
    <t xml:space="preserve">QA Engineer</t>
  </si>
  <si>
    <t xml:space="preserve">Delivery / Account Manager</t>
  </si>
  <si>
    <t xml:space="preserve">Phase</t>
  </si>
  <si>
    <t xml:space="preserve">Days</t>
  </si>
  <si>
    <t xml:space="preserve">Rate / Day</t>
  </si>
  <si>
    <t xml:space="preserve">Cost</t>
  </si>
  <si>
    <t xml:space="preserve">0 — Discovery &amp; Governance Alignment</t>
  </si>
  <si>
    <t xml:space="preserve">1 — UX Design</t>
  </si>
  <si>
    <t xml:space="preserve">2 — UI Design</t>
  </si>
  <si>
    <t xml:space="preserve">3 — Development</t>
  </si>
  <si>
    <t xml:space="preserve">4 — QA &amp; Testing</t>
  </si>
  <si>
    <t xml:space="preserve">5 — Pilot Launch</t>
  </si>
  <si>
    <t xml:space="preserve">6 — Full Rollout</t>
  </si>
  <si>
    <t xml:space="preserve">7 — Hypercare &amp; Review</t>
  </si>
  <si>
    <t xml:space="preserve">Total</t>
  </si>
  <si>
    <t xml:space="preserve">Effort (days)</t>
  </si>
  <si>
    <t xml:space="preserve">Illustrative Cost</t>
  </si>
  <si>
    <t xml:space="preserve">Illustrative figures for a practice RFP-response exercise. Not a real agency's actual rates or a committed quote. Excludes KPI expansion, regulatory reporting integration, and the fifth property — each scoped separately once its dependency resolves.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</si>
</sst>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6"/>
  </cols>
  <sheetData>
    <row r="1" customFormat="false" ht="15" hidden="false" customHeight="true" outlineLevel="0" collapsed="false">
      <c r="A1" s="2" t="s">
        <v>0</v>
      </c>
      <c r="B1" s="2"/>
    </row>
    <row r="2" customFormat="false" ht="26.25" hidden="false" customHeight="true" outlineLevel="0" collapsed="false">
      <c r="A2" s="3" t="s">
        <v>1</v>
      </c>
      <c r="B2" s="3" t="s">
        <v>2</v>
      </c>
    </row>
    <row r="3" customFormat="false" ht="15" hidden="false" customHeight="true" outlineLevel="0" collapsed="false">
      <c r="A3" s="4" t="s">
        <v>3</v>
      </c>
      <c r="B3" s="5" t="n">
        <v>450</v>
      </c>
    </row>
    <row r="4" customFormat="false" ht="15" hidden="false" customHeight="true" outlineLevel="0" collapsed="false">
      <c r="A4" s="4" t="s">
        <v>4</v>
      </c>
      <c r="B4" s="5" t="n">
        <v>400</v>
      </c>
    </row>
    <row r="5" customFormat="false" ht="15" hidden="false" customHeight="true" outlineLevel="0" collapsed="false">
      <c r="A5" s="4" t="s">
        <v>5</v>
      </c>
      <c r="B5" s="5" t="n">
        <v>400</v>
      </c>
    </row>
    <row r="6" customFormat="false" ht="15" hidden="false" customHeight="true" outlineLevel="0" collapsed="false">
      <c r="A6" s="4" t="s">
        <v>6</v>
      </c>
      <c r="B6" s="5" t="n">
        <v>450</v>
      </c>
    </row>
    <row r="7" customFormat="false" ht="15" hidden="false" customHeight="true" outlineLevel="0" collapsed="false">
      <c r="A7" s="4" t="s">
        <v>7</v>
      </c>
      <c r="B7" s="5" t="n">
        <v>450</v>
      </c>
    </row>
    <row r="8" customFormat="false" ht="15" hidden="false" customHeight="true" outlineLevel="0" collapsed="false">
      <c r="A8" s="4" t="s">
        <v>8</v>
      </c>
      <c r="B8" s="5" t="n">
        <v>350</v>
      </c>
    </row>
    <row r="9" customFormat="false" ht="15" hidden="false" customHeight="true" outlineLevel="0" collapsed="false">
      <c r="A9" s="4" t="s">
        <v>9</v>
      </c>
      <c r="B9" s="5" t="n">
        <v>500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2"/>
    <col collapsed="false" customWidth="true" hidden="false" outlineLevel="0" max="3" min="3" style="1" width="8"/>
    <col collapsed="false" customWidth="true" hidden="false" outlineLevel="0" max="5" min="4" style="1" width="14"/>
  </cols>
  <sheetData>
    <row r="1" customFormat="false" ht="15" hidden="false" customHeight="true" outlineLevel="0" collapsed="false">
      <c r="A1" s="3" t="s">
        <v>10</v>
      </c>
      <c r="B1" s="3" t="s">
        <v>1</v>
      </c>
      <c r="C1" s="3" t="s">
        <v>11</v>
      </c>
      <c r="D1" s="3" t="s">
        <v>12</v>
      </c>
      <c r="E1" s="3" t="s">
        <v>13</v>
      </c>
    </row>
    <row r="2" customFormat="false" ht="15" hidden="false" customHeight="true" outlineLevel="0" collapsed="false">
      <c r="A2" s="4" t="s">
        <v>14</v>
      </c>
      <c r="B2" s="4" t="s">
        <v>3</v>
      </c>
      <c r="C2" s="6" t="n">
        <v>10</v>
      </c>
      <c r="D2" s="7" t="n">
        <f aca="false">INDEX('Day Rates'!$B$3:$B$9,MATCH(B2,'Day Rates'!$A$3:$A$9,0))</f>
        <v>450</v>
      </c>
      <c r="E2" s="7" t="n">
        <f aca="false">C2*D2</f>
        <v>4500</v>
      </c>
    </row>
    <row r="3" customFormat="false" ht="15" hidden="false" customHeight="true" outlineLevel="0" collapsed="false">
      <c r="A3" s="4" t="s">
        <v>14</v>
      </c>
      <c r="B3" s="4" t="s">
        <v>9</v>
      </c>
      <c r="C3" s="6" t="n">
        <v>2</v>
      </c>
      <c r="D3" s="7" t="n">
        <f aca="false">INDEX('Day Rates'!$B$3:$B$9,MATCH(B3,'Day Rates'!$A$3:$A$9,0))</f>
        <v>500</v>
      </c>
      <c r="E3" s="7" t="n">
        <f aca="false">C3*D3</f>
        <v>1000</v>
      </c>
    </row>
    <row r="4" customFormat="false" ht="15" hidden="false" customHeight="true" outlineLevel="0" collapsed="false">
      <c r="A4" s="4" t="s">
        <v>15</v>
      </c>
      <c r="B4" s="4" t="s">
        <v>3</v>
      </c>
      <c r="C4" s="6" t="n">
        <v>5</v>
      </c>
      <c r="D4" s="7" t="n">
        <f aca="false">INDEX('Day Rates'!$B$3:$B$9,MATCH(B4,'Day Rates'!$A$3:$A$9,0))</f>
        <v>450</v>
      </c>
      <c r="E4" s="7" t="n">
        <f aca="false">C4*D4</f>
        <v>2250</v>
      </c>
    </row>
    <row r="5" customFormat="false" ht="15" hidden="false" customHeight="true" outlineLevel="0" collapsed="false">
      <c r="A5" s="4" t="s">
        <v>15</v>
      </c>
      <c r="B5" s="4" t="s">
        <v>4</v>
      </c>
      <c r="C5" s="6" t="n">
        <v>15</v>
      </c>
      <c r="D5" s="7" t="n">
        <f aca="false">INDEX('Day Rates'!$B$3:$B$9,MATCH(B5,'Day Rates'!$A$3:$A$9,0))</f>
        <v>400</v>
      </c>
      <c r="E5" s="7" t="n">
        <f aca="false">C5*D5</f>
        <v>6000</v>
      </c>
    </row>
    <row r="6" customFormat="false" ht="15" hidden="false" customHeight="true" outlineLevel="0" collapsed="false">
      <c r="A6" s="4" t="s">
        <v>16</v>
      </c>
      <c r="B6" s="4" t="s">
        <v>5</v>
      </c>
      <c r="C6" s="6" t="n">
        <v>10</v>
      </c>
      <c r="D6" s="7" t="n">
        <f aca="false">INDEX('Day Rates'!$B$3:$B$9,MATCH(B6,'Day Rates'!$A$3:$A$9,0))</f>
        <v>400</v>
      </c>
      <c r="E6" s="7" t="n">
        <f aca="false">C6*D6</f>
        <v>4000</v>
      </c>
    </row>
    <row r="7" customFormat="false" ht="15" hidden="false" customHeight="true" outlineLevel="0" collapsed="false">
      <c r="A7" s="4" t="s">
        <v>16</v>
      </c>
      <c r="B7" s="4" t="s">
        <v>3</v>
      </c>
      <c r="C7" s="6" t="n">
        <v>2</v>
      </c>
      <c r="D7" s="7" t="n">
        <f aca="false">INDEX('Day Rates'!$B$3:$B$9,MATCH(B7,'Day Rates'!$A$3:$A$9,0))</f>
        <v>450</v>
      </c>
      <c r="E7" s="7" t="n">
        <f aca="false">C7*D7</f>
        <v>900</v>
      </c>
    </row>
    <row r="8" customFormat="false" ht="15" hidden="false" customHeight="true" outlineLevel="0" collapsed="false">
      <c r="A8" s="4" t="s">
        <v>17</v>
      </c>
      <c r="B8" s="4" t="s">
        <v>6</v>
      </c>
      <c r="C8" s="6" t="n">
        <v>30</v>
      </c>
      <c r="D8" s="7" t="n">
        <f aca="false">INDEX('Day Rates'!$B$3:$B$9,MATCH(B8,'Day Rates'!$A$3:$A$9,0))</f>
        <v>450</v>
      </c>
      <c r="E8" s="7" t="n">
        <f aca="false">C8*D8</f>
        <v>13500</v>
      </c>
    </row>
    <row r="9" customFormat="false" ht="15" hidden="false" customHeight="true" outlineLevel="0" collapsed="false">
      <c r="A9" s="4" t="s">
        <v>17</v>
      </c>
      <c r="B9" s="4" t="s">
        <v>7</v>
      </c>
      <c r="C9" s="6" t="n">
        <v>30</v>
      </c>
      <c r="D9" s="7" t="n">
        <f aca="false">INDEX('Day Rates'!$B$3:$B$9,MATCH(B9,'Day Rates'!$A$3:$A$9,0))</f>
        <v>450</v>
      </c>
      <c r="E9" s="7" t="n">
        <f aca="false">C9*D9</f>
        <v>13500</v>
      </c>
    </row>
    <row r="10" customFormat="false" ht="15" hidden="false" customHeight="true" outlineLevel="0" collapsed="false">
      <c r="A10" s="4" t="s">
        <v>17</v>
      </c>
      <c r="B10" s="4" t="s">
        <v>3</v>
      </c>
      <c r="C10" s="6" t="n">
        <v>6</v>
      </c>
      <c r="D10" s="7" t="n">
        <f aca="false">INDEX('Day Rates'!$B$3:$B$9,MATCH(B10,'Day Rates'!$A$3:$A$9,0))</f>
        <v>450</v>
      </c>
      <c r="E10" s="7" t="n">
        <f aca="false">C10*D10</f>
        <v>2700</v>
      </c>
    </row>
    <row r="11" customFormat="false" ht="15" hidden="false" customHeight="true" outlineLevel="0" collapsed="false">
      <c r="A11" s="4" t="s">
        <v>18</v>
      </c>
      <c r="B11" s="4" t="s">
        <v>8</v>
      </c>
      <c r="C11" s="6" t="n">
        <v>10</v>
      </c>
      <c r="D11" s="7" t="n">
        <f aca="false">INDEX('Day Rates'!$B$3:$B$9,MATCH(B11,'Day Rates'!$A$3:$A$9,0))</f>
        <v>350</v>
      </c>
      <c r="E11" s="7" t="n">
        <f aca="false">C11*D11</f>
        <v>3500</v>
      </c>
    </row>
    <row r="12" customFormat="false" ht="15" hidden="false" customHeight="true" outlineLevel="0" collapsed="false">
      <c r="A12" s="4" t="s">
        <v>18</v>
      </c>
      <c r="B12" s="4" t="s">
        <v>3</v>
      </c>
      <c r="C12" s="6" t="n">
        <v>2</v>
      </c>
      <c r="D12" s="7" t="n">
        <f aca="false">INDEX('Day Rates'!$B$3:$B$9,MATCH(B12,'Day Rates'!$A$3:$A$9,0))</f>
        <v>450</v>
      </c>
      <c r="E12" s="7" t="n">
        <f aca="false">C12*D12</f>
        <v>900</v>
      </c>
    </row>
    <row r="13" customFormat="false" ht="15" hidden="false" customHeight="true" outlineLevel="0" collapsed="false">
      <c r="A13" s="4" t="s">
        <v>18</v>
      </c>
      <c r="B13" s="4" t="s">
        <v>6</v>
      </c>
      <c r="C13" s="6" t="n">
        <v>3</v>
      </c>
      <c r="D13" s="7" t="n">
        <f aca="false">INDEX('Day Rates'!$B$3:$B$9,MATCH(B13,'Day Rates'!$A$3:$A$9,0))</f>
        <v>450</v>
      </c>
      <c r="E13" s="7" t="n">
        <f aca="false">C13*D13</f>
        <v>1350</v>
      </c>
    </row>
    <row r="14" customFormat="false" ht="15" hidden="false" customHeight="true" outlineLevel="0" collapsed="false">
      <c r="A14" s="4" t="s">
        <v>18</v>
      </c>
      <c r="B14" s="4" t="s">
        <v>7</v>
      </c>
      <c r="C14" s="6" t="n">
        <v>3</v>
      </c>
      <c r="D14" s="7" t="n">
        <f aca="false">INDEX('Day Rates'!$B$3:$B$9,MATCH(B14,'Day Rates'!$A$3:$A$9,0))</f>
        <v>450</v>
      </c>
      <c r="E14" s="7" t="n">
        <f aca="false">C14*D14</f>
        <v>1350</v>
      </c>
    </row>
    <row r="15" customFormat="false" ht="15" hidden="false" customHeight="true" outlineLevel="0" collapsed="false">
      <c r="A15" s="4" t="s">
        <v>19</v>
      </c>
      <c r="B15" s="4" t="s">
        <v>3</v>
      </c>
      <c r="C15" s="6" t="n">
        <v>8</v>
      </c>
      <c r="D15" s="7" t="n">
        <f aca="false">INDEX('Day Rates'!$B$3:$B$9,MATCH(B15,'Day Rates'!$A$3:$A$9,0))</f>
        <v>450</v>
      </c>
      <c r="E15" s="7" t="n">
        <f aca="false">C15*D15</f>
        <v>3600</v>
      </c>
    </row>
    <row r="16" customFormat="false" ht="15" hidden="false" customHeight="true" outlineLevel="0" collapsed="false">
      <c r="A16" s="4" t="s">
        <v>19</v>
      </c>
      <c r="B16" s="4" t="s">
        <v>8</v>
      </c>
      <c r="C16" s="6" t="n">
        <v>4</v>
      </c>
      <c r="D16" s="7" t="n">
        <f aca="false">INDEX('Day Rates'!$B$3:$B$9,MATCH(B16,'Day Rates'!$A$3:$A$9,0))</f>
        <v>350</v>
      </c>
      <c r="E16" s="7" t="n">
        <f aca="false">C16*D16</f>
        <v>1400</v>
      </c>
    </row>
    <row r="17" customFormat="false" ht="15" hidden="false" customHeight="true" outlineLevel="0" collapsed="false">
      <c r="A17" s="4" t="s">
        <v>19</v>
      </c>
      <c r="B17" s="4" t="s">
        <v>6</v>
      </c>
      <c r="C17" s="6" t="n">
        <v>3</v>
      </c>
      <c r="D17" s="7" t="n">
        <f aca="false">INDEX('Day Rates'!$B$3:$B$9,MATCH(B17,'Day Rates'!$A$3:$A$9,0))</f>
        <v>450</v>
      </c>
      <c r="E17" s="7" t="n">
        <f aca="false">C17*D17</f>
        <v>1350</v>
      </c>
    </row>
    <row r="18" customFormat="false" ht="15" hidden="false" customHeight="true" outlineLevel="0" collapsed="false">
      <c r="A18" s="4" t="s">
        <v>19</v>
      </c>
      <c r="B18" s="4" t="s">
        <v>7</v>
      </c>
      <c r="C18" s="6" t="n">
        <v>3</v>
      </c>
      <c r="D18" s="7" t="n">
        <f aca="false">INDEX('Day Rates'!$B$3:$B$9,MATCH(B18,'Day Rates'!$A$3:$A$9,0))</f>
        <v>450</v>
      </c>
      <c r="E18" s="7" t="n">
        <f aca="false">C18*D18</f>
        <v>1350</v>
      </c>
    </row>
    <row r="19" customFormat="false" ht="15" hidden="false" customHeight="true" outlineLevel="0" collapsed="false">
      <c r="A19" s="4" t="s">
        <v>20</v>
      </c>
      <c r="B19" s="4" t="s">
        <v>3</v>
      </c>
      <c r="C19" s="6" t="n">
        <v>6</v>
      </c>
      <c r="D19" s="7" t="n">
        <f aca="false">INDEX('Day Rates'!$B$3:$B$9,MATCH(B19,'Day Rates'!$A$3:$A$9,0))</f>
        <v>450</v>
      </c>
      <c r="E19" s="7" t="n">
        <f aca="false">C19*D19</f>
        <v>2700</v>
      </c>
    </row>
    <row r="20" customFormat="false" ht="15" hidden="false" customHeight="true" outlineLevel="0" collapsed="false">
      <c r="A20" s="4" t="s">
        <v>20</v>
      </c>
      <c r="B20" s="4" t="s">
        <v>7</v>
      </c>
      <c r="C20" s="6" t="n">
        <v>3</v>
      </c>
      <c r="D20" s="7" t="n">
        <f aca="false">INDEX('Day Rates'!$B$3:$B$9,MATCH(B20,'Day Rates'!$A$3:$A$9,0))</f>
        <v>450</v>
      </c>
      <c r="E20" s="7" t="n">
        <f aca="false">C20*D20</f>
        <v>1350</v>
      </c>
    </row>
    <row r="21" customFormat="false" ht="15" hidden="false" customHeight="true" outlineLevel="0" collapsed="false">
      <c r="A21" s="4" t="s">
        <v>20</v>
      </c>
      <c r="B21" s="4" t="s">
        <v>6</v>
      </c>
      <c r="C21" s="6" t="n">
        <v>2</v>
      </c>
      <c r="D21" s="7" t="n">
        <f aca="false">INDEX('Day Rates'!$B$3:$B$9,MATCH(B21,'Day Rates'!$A$3:$A$9,0))</f>
        <v>450</v>
      </c>
      <c r="E21" s="7" t="n">
        <f aca="false">C21*D21</f>
        <v>900</v>
      </c>
    </row>
    <row r="22" customFormat="false" ht="15" hidden="false" customHeight="true" outlineLevel="0" collapsed="false">
      <c r="A22" s="4" t="s">
        <v>20</v>
      </c>
      <c r="B22" s="4" t="s">
        <v>8</v>
      </c>
      <c r="C22" s="6" t="n">
        <v>3</v>
      </c>
      <c r="D22" s="7" t="n">
        <f aca="false">INDEX('Day Rates'!$B$3:$B$9,MATCH(B22,'Day Rates'!$A$3:$A$9,0))</f>
        <v>350</v>
      </c>
      <c r="E22" s="7" t="n">
        <f aca="false">C22*D22</f>
        <v>1050</v>
      </c>
    </row>
    <row r="23" customFormat="false" ht="15" hidden="false" customHeight="true" outlineLevel="0" collapsed="false">
      <c r="A23" s="4" t="s">
        <v>21</v>
      </c>
      <c r="B23" s="4" t="s">
        <v>3</v>
      </c>
      <c r="C23" s="6" t="n">
        <v>6</v>
      </c>
      <c r="D23" s="7" t="n">
        <f aca="false">INDEX('Day Rates'!$B$3:$B$9,MATCH(B23,'Day Rates'!$A$3:$A$9,0))</f>
        <v>450</v>
      </c>
      <c r="E23" s="7" t="n">
        <f aca="false">C23*D23</f>
        <v>2700</v>
      </c>
    </row>
    <row r="24" customFormat="false" ht="15" hidden="false" customHeight="true" outlineLevel="0" collapsed="false">
      <c r="A24" s="4" t="s">
        <v>21</v>
      </c>
      <c r="B24" s="4" t="s">
        <v>9</v>
      </c>
      <c r="C24" s="6" t="n">
        <v>2</v>
      </c>
      <c r="D24" s="7" t="n">
        <f aca="false">INDEX('Day Rates'!$B$3:$B$9,MATCH(B24,'Day Rates'!$A$3:$A$9,0))</f>
        <v>500</v>
      </c>
      <c r="E24" s="7" t="n">
        <f aca="false">C24*D24</f>
        <v>1000</v>
      </c>
    </row>
    <row r="25" customFormat="false" ht="15" hidden="false" customHeight="true" outlineLevel="0" collapsed="false">
      <c r="A25" s="4" t="s">
        <v>21</v>
      </c>
      <c r="B25" s="4" t="s">
        <v>6</v>
      </c>
      <c r="C25" s="6" t="n">
        <v>2</v>
      </c>
      <c r="D25" s="7" t="n">
        <f aca="false">INDEX('Day Rates'!$B$3:$B$9,MATCH(B25,'Day Rates'!$A$3:$A$9,0))</f>
        <v>450</v>
      </c>
      <c r="E25" s="7" t="n">
        <f aca="false">C25*D25</f>
        <v>900</v>
      </c>
    </row>
    <row r="26" customFormat="false" ht="15" hidden="false" customHeight="true" outlineLevel="0" collapsed="false">
      <c r="A26" s="4" t="s">
        <v>21</v>
      </c>
      <c r="B26" s="4" t="s">
        <v>7</v>
      </c>
      <c r="C26" s="6" t="n">
        <v>2</v>
      </c>
      <c r="D26" s="7" t="n">
        <f aca="false">INDEX('Day Rates'!$B$3:$B$9,MATCH(B26,'Day Rates'!$A$3:$A$9,0))</f>
        <v>450</v>
      </c>
      <c r="E26" s="7" t="n">
        <f aca="false">C26*D26</f>
        <v>900</v>
      </c>
    </row>
    <row r="28" customFormat="false" ht="15" hidden="false" customHeight="true" outlineLevel="0" collapsed="false">
      <c r="A28" s="8"/>
      <c r="B28" s="9" t="s">
        <v>22</v>
      </c>
      <c r="C28" s="9" t="n">
        <f aca="false">SUM(C2:C26)</f>
        <v>172</v>
      </c>
      <c r="D28" s="8"/>
      <c r="E28" s="10" t="n">
        <f aca="false">SUM(E2:E26)</f>
        <v>74650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18"/>
  </cols>
  <sheetData>
    <row r="1" customFormat="false" ht="15" hidden="false" customHeight="true" outlineLevel="0" collapsed="false">
      <c r="A1" s="3" t="s">
        <v>10</v>
      </c>
      <c r="B1" s="3" t="s">
        <v>23</v>
      </c>
      <c r="C1" s="3" t="s">
        <v>24</v>
      </c>
    </row>
    <row r="2" customFormat="false" ht="15" hidden="false" customHeight="true" outlineLevel="0" collapsed="false">
      <c r="A2" s="4" t="s">
        <v>14</v>
      </c>
      <c r="B2" s="4" t="n">
        <f aca="false">SUMIFS(Estimate!$C$2:$C$26,Estimate!$A$2:$A$26,A2)</f>
        <v>12</v>
      </c>
      <c r="C2" s="7" t="n">
        <f aca="false">SUMIFS(Estimate!$E$2:$E$26,Estimate!$A$2:$A$26,A2)</f>
        <v>5500</v>
      </c>
    </row>
    <row r="3" customFormat="false" ht="15" hidden="false" customHeight="true" outlineLevel="0" collapsed="false">
      <c r="A3" s="4" t="s">
        <v>15</v>
      </c>
      <c r="B3" s="4" t="n">
        <f aca="false">SUMIFS(Estimate!$C$2:$C$26,Estimate!$A$2:$A$26,A3)</f>
        <v>20</v>
      </c>
      <c r="C3" s="7" t="n">
        <f aca="false">SUMIFS(Estimate!$E$2:$E$26,Estimate!$A$2:$A$26,A3)</f>
        <v>8250</v>
      </c>
    </row>
    <row r="4" customFormat="false" ht="15" hidden="false" customHeight="true" outlineLevel="0" collapsed="false">
      <c r="A4" s="4" t="s">
        <v>16</v>
      </c>
      <c r="B4" s="4" t="n">
        <f aca="false">SUMIFS(Estimate!$C$2:$C$26,Estimate!$A$2:$A$26,A4)</f>
        <v>12</v>
      </c>
      <c r="C4" s="7" t="n">
        <f aca="false">SUMIFS(Estimate!$E$2:$E$26,Estimate!$A$2:$A$26,A4)</f>
        <v>4900</v>
      </c>
    </row>
    <row r="5" customFormat="false" ht="15" hidden="false" customHeight="true" outlineLevel="0" collapsed="false">
      <c r="A5" s="4" t="s">
        <v>17</v>
      </c>
      <c r="B5" s="4" t="n">
        <f aca="false">SUMIFS(Estimate!$C$2:$C$26,Estimate!$A$2:$A$26,A5)</f>
        <v>66</v>
      </c>
      <c r="C5" s="7" t="n">
        <f aca="false">SUMIFS(Estimate!$E$2:$E$26,Estimate!$A$2:$A$26,A5)</f>
        <v>29700</v>
      </c>
    </row>
    <row r="6" customFormat="false" ht="15" hidden="false" customHeight="true" outlineLevel="0" collapsed="false">
      <c r="A6" s="4" t="s">
        <v>18</v>
      </c>
      <c r="B6" s="4" t="n">
        <f aca="false">SUMIFS(Estimate!$C$2:$C$26,Estimate!$A$2:$A$26,A6)</f>
        <v>18</v>
      </c>
      <c r="C6" s="7" t="n">
        <f aca="false">SUMIFS(Estimate!$E$2:$E$26,Estimate!$A$2:$A$26,A6)</f>
        <v>7100</v>
      </c>
    </row>
    <row r="7" customFormat="false" ht="15" hidden="false" customHeight="true" outlineLevel="0" collapsed="false">
      <c r="A7" s="4" t="s">
        <v>19</v>
      </c>
      <c r="B7" s="4" t="n">
        <f aca="false">SUMIFS(Estimate!$C$2:$C$26,Estimate!$A$2:$A$26,A7)</f>
        <v>18</v>
      </c>
      <c r="C7" s="7" t="n">
        <f aca="false">SUMIFS(Estimate!$E$2:$E$26,Estimate!$A$2:$A$26,A7)</f>
        <v>7700</v>
      </c>
    </row>
    <row r="8" customFormat="false" ht="15" hidden="false" customHeight="true" outlineLevel="0" collapsed="false">
      <c r="A8" s="4" t="s">
        <v>20</v>
      </c>
      <c r="B8" s="4" t="n">
        <f aca="false">SUMIFS(Estimate!$C$2:$C$26,Estimate!$A$2:$A$26,A8)</f>
        <v>14</v>
      </c>
      <c r="C8" s="7" t="n">
        <f aca="false">SUMIFS(Estimate!$E$2:$E$26,Estimate!$A$2:$A$26,A8)</f>
        <v>6000</v>
      </c>
    </row>
    <row r="9" customFormat="false" ht="15" hidden="false" customHeight="true" outlineLevel="0" collapsed="false">
      <c r="A9" s="4" t="s">
        <v>21</v>
      </c>
      <c r="B9" s="4" t="n">
        <f aca="false">SUMIFS(Estimate!$C$2:$C$26,Estimate!$A$2:$A$26,A9)</f>
        <v>12</v>
      </c>
      <c r="C9" s="7" t="n">
        <f aca="false">SUMIFS(Estimate!$E$2:$E$26,Estimate!$A$2:$A$26,A9)</f>
        <v>5500</v>
      </c>
    </row>
    <row r="11" customFormat="false" ht="15" hidden="false" customHeight="true" outlineLevel="0" collapsed="false">
      <c r="A11" s="9" t="s">
        <v>22</v>
      </c>
      <c r="B11" s="9" t="n">
        <f aca="false">SUM(B2:B9)</f>
        <v>172</v>
      </c>
      <c r="C11" s="10" t="n">
        <f aca="false">SUM(C2:C9)</f>
        <v>74650</v>
      </c>
    </row>
    <row r="13" customFormat="false" ht="30" hidden="false" customHeight="true" outlineLevel="0" collapsed="false">
      <c r="A13" s="2" t="s">
        <v>25</v>
      </c>
      <c r="B13" s="2"/>
      <c r="C13" s="2"/>
    </row>
  </sheetData>
  <mergeCells count="1"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2026-10-12T05:47:01Z</dcterms:created>
  <dc:creator>openpyxl</dc:creator>
  <dc:description/>
  <dc:language>en-US</dc:language>
  <cp:lastModifiedBy/>
  <dcterms:modified xsi:type="dcterms:W3CDTF">2026-10-12T05:55:19Z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